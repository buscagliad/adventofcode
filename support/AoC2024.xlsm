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~1.BUS\AppData\Roaming\MobaXterm\slash\RemoteFiles\201414_3_1\"/>
    </mc:Choice>
  </mc:AlternateContent>
  <xr:revisionPtr revIDLastSave="0" documentId="13_ncr:1_{67D08815-F55A-416D-9AD2-4E508171E926}" xr6:coauthVersionLast="47" xr6:coauthVersionMax="47" xr10:uidLastSave="{00000000-0000-0000-0000-000000000000}"/>
  <bookViews>
    <workbookView xWindow="2256" yWindow="2652" windowWidth="17280" windowHeight="10044" xr2:uid="{8C18D973-A6FD-464E-AB09-11C31A59EFCE}"/>
  </bookViews>
  <sheets>
    <sheet name="Sheet1" sheetId="1" r:id="rId1"/>
    <sheet name="Sheet2" sheetId="2" r:id="rId2"/>
  </sheets>
  <definedNames>
    <definedName name="Done">Sheet1!$E$33</definedName>
    <definedName name="RNG">Sheet1!$E$32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" i="1"/>
  <c r="F32" i="1"/>
  <c r="C4" i="1"/>
  <c r="B3" i="1"/>
  <c r="D3" i="1"/>
  <c r="E3" i="1"/>
  <c r="B4" i="1"/>
  <c r="D4" i="1"/>
  <c r="B5" i="1"/>
  <c r="C5" i="1"/>
  <c r="D5" i="1"/>
  <c r="B6" i="1"/>
  <c r="C6" i="1"/>
  <c r="D6" i="1"/>
  <c r="B7" i="1"/>
  <c r="C7" i="1"/>
  <c r="D7" i="1"/>
  <c r="B8" i="1"/>
  <c r="C8" i="1"/>
  <c r="D8" i="1"/>
  <c r="B2" i="1"/>
  <c r="C2" i="1"/>
  <c r="D2" i="1"/>
  <c r="F2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F3" i="1" l="1"/>
  <c r="E4" i="1" s="1"/>
  <c r="F4" i="1" s="1"/>
  <c r="E5" i="1" s="1"/>
  <c r="F5" i="1" s="1"/>
  <c r="E6" i="1" s="1"/>
  <c r="F6" i="1" s="1"/>
  <c r="E7" i="1" s="1"/>
  <c r="F7" i="1" s="1"/>
  <c r="E8" i="1" s="1"/>
  <c r="F8" i="1" s="1"/>
  <c r="E9" i="1" s="1"/>
  <c r="F9" i="1" l="1"/>
  <c r="E10" i="1" s="1"/>
  <c r="F10" i="1" l="1"/>
  <c r="E11" i="1" s="1"/>
  <c r="F11" i="1" l="1"/>
  <c r="E12" i="1" s="1"/>
  <c r="F12" i="1" l="1"/>
  <c r="E13" i="1" s="1"/>
  <c r="F13" i="1" l="1"/>
  <c r="E14" i="1" s="1"/>
  <c r="F14" i="1" l="1"/>
  <c r="E15" i="1" s="1"/>
  <c r="F15" i="1" l="1"/>
  <c r="E16" i="1" s="1"/>
  <c r="F16" i="1" l="1"/>
  <c r="E17" i="1" s="1"/>
  <c r="F17" i="1" l="1"/>
  <c r="E18" i="1" s="1"/>
  <c r="F18" i="1" l="1"/>
  <c r="E19" i="1" s="1"/>
  <c r="F19" i="1" l="1"/>
  <c r="E20" i="1" s="1"/>
  <c r="F20" i="1" s="1"/>
  <c r="E21" i="1" s="1"/>
  <c r="F21" i="1" l="1"/>
  <c r="E22" i="1" s="1"/>
  <c r="F22" i="1" l="1"/>
  <c r="E23" i="1" s="1"/>
  <c r="F23" i="1" l="1"/>
  <c r="E24" i="1" s="1"/>
  <c r="F24" i="1" l="1"/>
  <c r="E25" i="1" s="1"/>
  <c r="F25" i="1" l="1"/>
</calcChain>
</file>

<file path=xl/sharedStrings.xml><?xml version="1.0" encoding="utf-8"?>
<sst xmlns="http://schemas.openxmlformats.org/spreadsheetml/2006/main" count="39" uniqueCount="34">
  <si>
    <t xml:space="preserve"> </t>
  </si>
  <si>
    <t>Stars</t>
  </si>
  <si>
    <t>Low</t>
  </si>
  <si>
    <t>High</t>
  </si>
  <si>
    <t>Random Num Generator</t>
  </si>
  <si>
    <t>Sean McCarthy</t>
  </si>
  <si>
    <t>Patrick O'Brien</t>
  </si>
  <si>
    <t>Dana Kimball</t>
  </si>
  <si>
    <t>Mattie Sanz</t>
  </si>
  <si>
    <t>Matthew Luckenbihl</t>
  </si>
  <si>
    <t>Nathan Ferrara</t>
  </si>
  <si>
    <t>Anthony Lee</t>
  </si>
  <si>
    <t>Points</t>
  </si>
  <si>
    <t>Name</t>
  </si>
  <si>
    <t>Last Star</t>
  </si>
  <si>
    <t>Dominick Beaman</t>
  </si>
  <si>
    <t>David Buscaglia</t>
  </si>
  <si>
    <t>Stephanie Stites</t>
  </si>
  <si>
    <t>Nicholas Henderson</t>
  </si>
  <si>
    <t>Ash Evans</t>
  </si>
  <si>
    <t>John Moon</t>
  </si>
  <si>
    <t>Neil Jacklin</t>
  </si>
  <si>
    <t>Roxy Jamieson</t>
  </si>
  <si>
    <t>Eric Ferrara</t>
  </si>
  <si>
    <t>Rory Dunne</t>
  </si>
  <si>
    <t>Evan Allender</t>
  </si>
  <si>
    <t>Ashley Venn</t>
  </si>
  <si>
    <t>Austin Davis</t>
  </si>
  <si>
    <t>Doug Shipler</t>
  </si>
  <si>
    <t>Marshall Farris</t>
  </si>
  <si>
    <t>Austin Beckelman</t>
  </si>
  <si>
    <t>Zack Mertz</t>
  </si>
  <si>
    <t>YES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</si>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</sst>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164" fontId="0" fillId="0" borderId="0" xfId="1" applyNumberFormat="1" applyFont="1"/>
    <xf numFmtId="164" fontId="0" fillId="0" borderId="0" xfId="0" applyNumberFormat="1"/>
  </cellXfs>
  <cellStyles count="2">
    <cellStyle name="Normal" xfId="0" builtinId="0"/>
    <cellStyle name="Percent" xfId="1" builtinId="5"/>
  </cellStyles>
  <dxfs count="6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10</xdr:row>
          <xdr:rowOff>106680</xdr:rowOff>
        </xdr:from>
        <xdr:to>
          <xdr:col>7</xdr:col>
          <xdr:colOff>601980</xdr:colOff>
          <xdr:row>11</xdr:row>
          <xdr:rowOff>152400</xdr:rowOff>
        </xdr:to>
        <xdr:sp macro="" textlink="">
          <xdr:nvSpPr>
            <xdr:cNvPr id="1026" name="Button 2" descr="Spi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DD6E9-FFB0-48B2-A4A9-8C9BA1D5CC28}">
  <sheetPr codeName="Sheet1"/>
  <dimension ref="A1:I33"/>
  <sheetViews>
    <sheetView tabSelected="1" workbookViewId="0">
      <selection activeCell="E32" sqref="E32"/>
    </sheetView>
  </sheetViews>
  <sheetFormatPr defaultRowHeight="14.4" x14ac:dyDescent="0.3"/>
  <cols>
    <col min="1" max="1" width="8.88671875" style="2"/>
    <col min="4" max="4" width="24.5546875" bestFit="1" customWidth="1"/>
  </cols>
  <sheetData>
    <row r="1" spans="1:9" x14ac:dyDescent="0.3">
      <c r="A1" s="3">
        <v>625</v>
      </c>
      <c r="B1" s="4" t="s">
        <v>1</v>
      </c>
      <c r="C1" s="4" t="s">
        <v>12</v>
      </c>
      <c r="D1" s="4"/>
      <c r="E1" s="4" t="s">
        <v>2</v>
      </c>
      <c r="F1" s="4" t="s">
        <v>3</v>
      </c>
    </row>
    <row r="2" spans="1:9" x14ac:dyDescent="0.3">
      <c r="A2" s="2" t="str">
        <f>IF(ISBLANK(Sheet2!A2),"",(Sheet2!A2))</f>
        <v>YES</v>
      </c>
      <c r="B2">
        <f>Sheet2!B2</f>
        <v>50</v>
      </c>
      <c r="C2">
        <f>5*SUM(Sheet2!E2:I2)+3*SUM(Sheet2!J2:N2)+SUM(Sheet2!O2:AC2)+IF(Sheet2!A2="YES",10,0)</f>
        <v>120</v>
      </c>
      <c r="D2" t="str">
        <f>Sheet2!C2</f>
        <v>Dominick Beaman</v>
      </c>
      <c r="E2">
        <v>0</v>
      </c>
      <c r="F2">
        <f>E2+C2</f>
        <v>120</v>
      </c>
      <c r="I2" s="5">
        <f>(F2-E2+1)/F$25</f>
        <v>0.1055846422338569</v>
      </c>
    </row>
    <row r="3" spans="1:9" x14ac:dyDescent="0.3">
      <c r="A3" s="2" t="str">
        <f>IF(ISBLANK(Sheet2!A3),"",(Sheet2!A3))</f>
        <v/>
      </c>
      <c r="B3">
        <f>Sheet2!B3</f>
        <v>46</v>
      </c>
      <c r="C3">
        <v>0</v>
      </c>
      <c r="D3" t="str">
        <f>Sheet2!C3</f>
        <v>David Buscaglia</v>
      </c>
      <c r="E3">
        <f t="shared" ref="E3:E6" si="0">F2+1</f>
        <v>121</v>
      </c>
      <c r="F3">
        <f t="shared" ref="F3:F6" si="1">C3+E3-1</f>
        <v>120</v>
      </c>
      <c r="I3" s="5">
        <f t="shared" ref="I3:I25" si="2">(F3-E3+1)/F$25</f>
        <v>0</v>
      </c>
    </row>
    <row r="4" spans="1:9" x14ac:dyDescent="0.3">
      <c r="A4" s="2" t="str">
        <f>IF(ISBLANK(Sheet2!A4),"",(Sheet2!A4))</f>
        <v>YES</v>
      </c>
      <c r="B4">
        <f>Sheet2!B4</f>
        <v>43</v>
      </c>
      <c r="C4">
        <f>5*SUM(Sheet2!E4:I4)+3*SUM(Sheet2!J4:N4)+SUM(Sheet2!O4:AC4)+IF(Sheet2!A4="YES",10,0)</f>
        <v>113</v>
      </c>
      <c r="D4" t="str">
        <f>Sheet2!C4</f>
        <v>Sean McCarthy</v>
      </c>
      <c r="E4">
        <f t="shared" si="0"/>
        <v>121</v>
      </c>
      <c r="F4">
        <f t="shared" si="1"/>
        <v>233</v>
      </c>
      <c r="G4" t="s">
        <v>0</v>
      </c>
      <c r="I4" s="5">
        <f t="shared" si="2"/>
        <v>9.8603839441535779E-2</v>
      </c>
    </row>
    <row r="5" spans="1:9" x14ac:dyDescent="0.3">
      <c r="A5" s="2" t="str">
        <f>IF(ISBLANK(Sheet2!A5),"",(Sheet2!A5))</f>
        <v/>
      </c>
      <c r="B5">
        <f>Sheet2!B5</f>
        <v>37</v>
      </c>
      <c r="C5">
        <f>5*SUM(Sheet2!E5:I5)+3*SUM(Sheet2!J5:N5)+SUM(Sheet2!O5:AC5)+IF(Sheet2!A5="YES",10,0)</f>
        <v>97</v>
      </c>
      <c r="D5" t="str">
        <f>Sheet2!C5</f>
        <v>Stephanie Stites</v>
      </c>
      <c r="E5">
        <f t="shared" si="0"/>
        <v>234</v>
      </c>
      <c r="F5">
        <f t="shared" si="1"/>
        <v>330</v>
      </c>
      <c r="I5" s="5">
        <f t="shared" si="2"/>
        <v>8.464223385689354E-2</v>
      </c>
    </row>
    <row r="6" spans="1:9" x14ac:dyDescent="0.3">
      <c r="A6" s="2" t="str">
        <f>IF(ISBLANK(Sheet2!A6),"",(Sheet2!A6))</f>
        <v/>
      </c>
      <c r="B6">
        <f>Sheet2!B6</f>
        <v>25</v>
      </c>
      <c r="C6">
        <f>5*SUM(Sheet2!E6:I6)+3*SUM(Sheet2!J6:N6)+SUM(Sheet2!O6:AC6)+IF(Sheet2!A6="YES",10,0)</f>
        <v>85</v>
      </c>
      <c r="D6" t="str">
        <f>Sheet2!C6</f>
        <v>Nicholas Henderson</v>
      </c>
      <c r="E6">
        <f t="shared" si="0"/>
        <v>331</v>
      </c>
      <c r="F6">
        <f t="shared" si="1"/>
        <v>415</v>
      </c>
      <c r="I6" s="5">
        <f t="shared" si="2"/>
        <v>7.4171029668411867E-2</v>
      </c>
    </row>
    <row r="7" spans="1:9" x14ac:dyDescent="0.3">
      <c r="A7" s="2" t="str">
        <f>IF(ISBLANK(Sheet2!A7),"",(Sheet2!A7))</f>
        <v/>
      </c>
      <c r="B7">
        <f>Sheet2!B7</f>
        <v>23</v>
      </c>
      <c r="C7">
        <f>5*SUM(Sheet2!E7:I7)+3*SUM(Sheet2!J7:N7)+SUM(Sheet2!O7:AC7)+IF(Sheet2!A7="YES",10,0)</f>
        <v>83</v>
      </c>
      <c r="D7" t="str">
        <f>Sheet2!C7</f>
        <v>Ash Evans</v>
      </c>
      <c r="E7">
        <f>F6+1</f>
        <v>416</v>
      </c>
      <c r="F7">
        <f t="shared" ref="F7:F25" si="3">C7+E7-1</f>
        <v>498</v>
      </c>
      <c r="I7" s="5">
        <f t="shared" si="2"/>
        <v>7.2425828970331591E-2</v>
      </c>
    </row>
    <row r="8" spans="1:9" x14ac:dyDescent="0.3">
      <c r="A8" s="2" t="str">
        <f>IF(ISBLANK(Sheet2!A8),"",(Sheet2!A8))</f>
        <v>YES</v>
      </c>
      <c r="B8">
        <f>Sheet2!B8</f>
        <v>23</v>
      </c>
      <c r="C8">
        <f>5*SUM(Sheet2!E8:I8)+3*SUM(Sheet2!J8:N8)+SUM(Sheet2!O8:AC8)+IF(Sheet2!A8="YES",10,0)</f>
        <v>91</v>
      </c>
      <c r="D8" t="str">
        <f>Sheet2!C8</f>
        <v>John Moon</v>
      </c>
      <c r="E8">
        <f t="shared" ref="E8:E20" si="4">F7+1</f>
        <v>499</v>
      </c>
      <c r="F8">
        <f t="shared" si="3"/>
        <v>589</v>
      </c>
      <c r="I8" s="5">
        <f t="shared" si="2"/>
        <v>7.940663176265271E-2</v>
      </c>
    </row>
    <row r="9" spans="1:9" x14ac:dyDescent="0.3">
      <c r="A9" s="2" t="str">
        <f>IF(ISBLANK(Sheet2!A9),"",(Sheet2!A9))</f>
        <v/>
      </c>
      <c r="B9">
        <f>Sheet2!B9</f>
        <v>21</v>
      </c>
      <c r="C9">
        <f>5*SUM(Sheet2!E9:I9)+3*SUM(Sheet2!J9:N9)+SUM(Sheet2!O9:AC9)+IF(Sheet2!A9="YES",10,0)</f>
        <v>81</v>
      </c>
      <c r="D9" t="str">
        <f>Sheet2!C9</f>
        <v>Neil Jacklin</v>
      </c>
      <c r="E9">
        <f t="shared" si="4"/>
        <v>590</v>
      </c>
      <c r="F9">
        <f t="shared" si="3"/>
        <v>670</v>
      </c>
      <c r="I9" s="5">
        <f t="shared" si="2"/>
        <v>7.0680628272251314E-2</v>
      </c>
    </row>
    <row r="10" spans="1:9" x14ac:dyDescent="0.3">
      <c r="A10" s="2" t="str">
        <f>IF(ISBLANK(Sheet2!A10),"",(Sheet2!A10))</f>
        <v/>
      </c>
      <c r="B10">
        <f>Sheet2!B10</f>
        <v>18</v>
      </c>
      <c r="C10">
        <f>5*SUM(Sheet2!E10:I10)+3*SUM(Sheet2!J10:N10)+SUM(Sheet2!O10:AC10)+IF(Sheet2!A10="YES",10,0)</f>
        <v>60</v>
      </c>
      <c r="D10" t="str">
        <f>Sheet2!C10</f>
        <v>Roxy Jamieson</v>
      </c>
      <c r="E10">
        <f t="shared" si="4"/>
        <v>671</v>
      </c>
      <c r="F10">
        <f t="shared" si="3"/>
        <v>730</v>
      </c>
      <c r="I10" s="5">
        <f t="shared" si="2"/>
        <v>5.2356020942408377E-2</v>
      </c>
    </row>
    <row r="11" spans="1:9" x14ac:dyDescent="0.3">
      <c r="A11" s="2" t="str">
        <f>IF(ISBLANK(Sheet2!A11),"",(Sheet2!A11))</f>
        <v/>
      </c>
      <c r="B11">
        <f>Sheet2!B11</f>
        <v>13</v>
      </c>
      <c r="C11">
        <f>5*SUM(Sheet2!E11:I11)+3*SUM(Sheet2!J11:N11)+SUM(Sheet2!O11:AC11)+IF(Sheet2!A11="YES",10,0)</f>
        <v>59</v>
      </c>
      <c r="D11" t="str">
        <f>Sheet2!C11</f>
        <v>Matthew Luckenbihl</v>
      </c>
      <c r="E11">
        <f t="shared" si="4"/>
        <v>731</v>
      </c>
      <c r="F11">
        <f t="shared" si="3"/>
        <v>789</v>
      </c>
      <c r="I11" s="5">
        <f t="shared" si="2"/>
        <v>5.1483420593368238E-2</v>
      </c>
    </row>
    <row r="12" spans="1:9" x14ac:dyDescent="0.3">
      <c r="A12" s="2" t="str">
        <f>IF(ISBLANK(Sheet2!A12),"",(Sheet2!A12))</f>
        <v/>
      </c>
      <c r="B12">
        <f>Sheet2!B12</f>
        <v>12</v>
      </c>
      <c r="C12">
        <f>5*SUM(Sheet2!E12:I12)+3*SUM(Sheet2!J12:N12)+SUM(Sheet2!O12:AC12)+IF(Sheet2!A12="YES",10,0)</f>
        <v>56</v>
      </c>
      <c r="D12" t="str">
        <f>Sheet2!C12</f>
        <v>Dana Kimball</v>
      </c>
      <c r="E12">
        <f t="shared" si="4"/>
        <v>790</v>
      </c>
      <c r="F12">
        <f t="shared" si="3"/>
        <v>845</v>
      </c>
      <c r="I12" s="5">
        <f t="shared" si="2"/>
        <v>4.8865619546247817E-2</v>
      </c>
    </row>
    <row r="13" spans="1:9" x14ac:dyDescent="0.3">
      <c r="A13" s="2" t="str">
        <f>IF(ISBLANK(Sheet2!A13),"",(Sheet2!A13))</f>
        <v/>
      </c>
      <c r="B13">
        <f>Sheet2!B13</f>
        <v>10</v>
      </c>
      <c r="C13">
        <f>5*SUM(Sheet2!E13:I13)+3*SUM(Sheet2!J13:N13)+SUM(Sheet2!O13:AC13)+IF(Sheet2!A13="YES",10,0)</f>
        <v>46</v>
      </c>
      <c r="D13" t="str">
        <f>Sheet2!C13</f>
        <v>Eric Ferrara</v>
      </c>
      <c r="E13">
        <f t="shared" si="4"/>
        <v>846</v>
      </c>
      <c r="F13">
        <f t="shared" si="3"/>
        <v>891</v>
      </c>
      <c r="I13" s="5">
        <f t="shared" si="2"/>
        <v>4.0139616055846421E-2</v>
      </c>
    </row>
    <row r="14" spans="1:9" x14ac:dyDescent="0.3">
      <c r="A14" s="2" t="str">
        <f>IF(ISBLANK(Sheet2!A14),"",(Sheet2!A14))</f>
        <v/>
      </c>
      <c r="B14">
        <f>Sheet2!B14</f>
        <v>10</v>
      </c>
      <c r="C14">
        <f>5*SUM(Sheet2!E14:I14)+3*SUM(Sheet2!J14:N14)+SUM(Sheet2!O14:AC14)+IF(Sheet2!A14="YES",10,0)</f>
        <v>50</v>
      </c>
      <c r="D14" t="str">
        <f>Sheet2!C14</f>
        <v>Rory Dunne</v>
      </c>
      <c r="E14">
        <f t="shared" si="4"/>
        <v>892</v>
      </c>
      <c r="F14">
        <f t="shared" si="3"/>
        <v>941</v>
      </c>
      <c r="I14" s="5">
        <f t="shared" si="2"/>
        <v>4.3630017452006981E-2</v>
      </c>
    </row>
    <row r="15" spans="1:9" x14ac:dyDescent="0.3">
      <c r="A15" s="2" t="str">
        <f>IF(ISBLANK(Sheet2!A15),"",(Sheet2!A15))</f>
        <v/>
      </c>
      <c r="B15">
        <f>Sheet2!B15</f>
        <v>8</v>
      </c>
      <c r="C15">
        <f>5*SUM(Sheet2!E15:I15)+3*SUM(Sheet2!J15:N15)+SUM(Sheet2!O15:AC15)+IF(Sheet2!A15="YES",10,0)</f>
        <v>40</v>
      </c>
      <c r="D15" t="str">
        <f>Sheet2!C15</f>
        <v>Mattie Sanz</v>
      </c>
      <c r="E15">
        <f t="shared" si="4"/>
        <v>942</v>
      </c>
      <c r="F15">
        <f t="shared" si="3"/>
        <v>981</v>
      </c>
      <c r="I15" s="5">
        <f t="shared" si="2"/>
        <v>3.4904013961605584E-2</v>
      </c>
    </row>
    <row r="16" spans="1:9" x14ac:dyDescent="0.3">
      <c r="A16" s="2" t="str">
        <f>IF(ISBLANK(Sheet2!A16),"",(Sheet2!A16))</f>
        <v/>
      </c>
      <c r="B16">
        <f>Sheet2!B16</f>
        <v>6</v>
      </c>
      <c r="C16">
        <f>5*SUM(Sheet2!E16:I16)+3*SUM(Sheet2!J16:N16)+SUM(Sheet2!O16:AC16)+IF(Sheet2!A16="YES",10,0)</f>
        <v>30</v>
      </c>
      <c r="D16" t="str">
        <f>Sheet2!C16</f>
        <v>Evan Allender</v>
      </c>
      <c r="E16">
        <f t="shared" si="4"/>
        <v>982</v>
      </c>
      <c r="F16">
        <f t="shared" si="3"/>
        <v>1011</v>
      </c>
      <c r="I16" s="5">
        <f t="shared" si="2"/>
        <v>2.6178010471204188E-2</v>
      </c>
    </row>
    <row r="17" spans="1:9" x14ac:dyDescent="0.3">
      <c r="A17" s="2" t="str">
        <f>IF(ISBLANK(Sheet2!A17),"",(Sheet2!A17))</f>
        <v/>
      </c>
      <c r="B17">
        <f>Sheet2!B17</f>
        <v>6</v>
      </c>
      <c r="C17">
        <f>5*SUM(Sheet2!E17:I17)+3*SUM(Sheet2!J17:N17)+SUM(Sheet2!O17:AC17)+IF(Sheet2!A17="YES",10,0)</f>
        <v>30</v>
      </c>
      <c r="D17" t="str">
        <f>Sheet2!C17</f>
        <v>Patrick O'Brien</v>
      </c>
      <c r="E17">
        <f t="shared" si="4"/>
        <v>1012</v>
      </c>
      <c r="F17">
        <f t="shared" si="3"/>
        <v>1041</v>
      </c>
      <c r="I17" s="5">
        <f t="shared" si="2"/>
        <v>2.6178010471204188E-2</v>
      </c>
    </row>
    <row r="18" spans="1:9" x14ac:dyDescent="0.3">
      <c r="A18" s="2" t="str">
        <f>IF(ISBLANK(Sheet2!A18),"",(Sheet2!A18))</f>
        <v>YES</v>
      </c>
      <c r="B18">
        <f>Sheet2!B18</f>
        <v>3</v>
      </c>
      <c r="C18">
        <f>5*SUM(Sheet2!E18:I18)+3*SUM(Sheet2!J18:N18)+SUM(Sheet2!O18:AC18)+IF(Sheet2!A18="YES",10,0)</f>
        <v>25</v>
      </c>
      <c r="D18" t="str">
        <f>Sheet2!C18</f>
        <v>Ashley Venn</v>
      </c>
      <c r="E18">
        <f t="shared" si="4"/>
        <v>1042</v>
      </c>
      <c r="F18">
        <f t="shared" si="3"/>
        <v>1066</v>
      </c>
      <c r="I18" s="5">
        <f t="shared" si="2"/>
        <v>2.181500872600349E-2</v>
      </c>
    </row>
    <row r="19" spans="1:9" x14ac:dyDescent="0.3">
      <c r="A19" s="2" t="str">
        <f>IF(ISBLANK(Sheet2!A19),"",(Sheet2!A19))</f>
        <v/>
      </c>
      <c r="B19">
        <f>Sheet2!B19</f>
        <v>3</v>
      </c>
      <c r="C19">
        <f>5*SUM(Sheet2!E19:I19)+3*SUM(Sheet2!J19:N19)+SUM(Sheet2!O19:AC19)+IF(Sheet2!A19="YES",10,0)</f>
        <v>15</v>
      </c>
      <c r="D19" t="str">
        <f>Sheet2!C19</f>
        <v>Austin Davis</v>
      </c>
      <c r="E19">
        <f t="shared" si="4"/>
        <v>1067</v>
      </c>
      <c r="F19">
        <f t="shared" si="3"/>
        <v>1081</v>
      </c>
      <c r="I19" s="5">
        <f t="shared" si="2"/>
        <v>1.3089005235602094E-2</v>
      </c>
    </row>
    <row r="20" spans="1:9" x14ac:dyDescent="0.3">
      <c r="A20" s="2" t="str">
        <f>IF(ISBLANK(Sheet2!A20),"",(Sheet2!A20))</f>
        <v/>
      </c>
      <c r="B20">
        <f>Sheet2!B20</f>
        <v>2</v>
      </c>
      <c r="C20">
        <f>5*SUM(Sheet2!E20:I20)+3*SUM(Sheet2!J20:N20)+SUM(Sheet2!O20:AC20)+IF(Sheet2!A20="YES",10,0)</f>
        <v>10</v>
      </c>
      <c r="D20" t="str">
        <f>Sheet2!C20</f>
        <v>Doug Shipler</v>
      </c>
      <c r="E20">
        <f t="shared" si="4"/>
        <v>1082</v>
      </c>
      <c r="F20">
        <f t="shared" si="3"/>
        <v>1091</v>
      </c>
      <c r="I20" s="5">
        <f t="shared" si="2"/>
        <v>8.7260034904013961E-3</v>
      </c>
    </row>
    <row r="21" spans="1:9" x14ac:dyDescent="0.3">
      <c r="A21" s="2" t="str">
        <f>IF(ISBLANK(Sheet2!A21),"",(Sheet2!A21))</f>
        <v/>
      </c>
      <c r="B21">
        <f>Sheet2!B21</f>
        <v>2</v>
      </c>
      <c r="C21">
        <f>5*SUM(Sheet2!E21:I21)+3*SUM(Sheet2!J21:N21)+SUM(Sheet2!O21:AC21)+IF(Sheet2!A21="YES",10,0)</f>
        <v>10</v>
      </c>
      <c r="D21" t="str">
        <f>Sheet2!C21</f>
        <v>Marshall Farris</v>
      </c>
      <c r="E21">
        <f>F20+1</f>
        <v>1092</v>
      </c>
      <c r="F21">
        <f t="shared" si="3"/>
        <v>1101</v>
      </c>
      <c r="I21" s="5">
        <f t="shared" si="2"/>
        <v>8.7260034904013961E-3</v>
      </c>
    </row>
    <row r="22" spans="1:9" x14ac:dyDescent="0.3">
      <c r="A22" s="2" t="str">
        <f>IF(ISBLANK(Sheet2!A22),"",(Sheet2!A22))</f>
        <v/>
      </c>
      <c r="B22">
        <f>Sheet2!B22</f>
        <v>2</v>
      </c>
      <c r="C22">
        <f>5*SUM(Sheet2!E22:I22)+3*SUM(Sheet2!J22:N22)+SUM(Sheet2!O22:AC22)+IF(Sheet2!A22="YES",10,0)</f>
        <v>10</v>
      </c>
      <c r="D22" t="str">
        <f>Sheet2!C22</f>
        <v>Nathan Ferrara</v>
      </c>
      <c r="E22">
        <f t="shared" ref="E22:E25" si="5">F21+1</f>
        <v>1102</v>
      </c>
      <c r="F22">
        <f t="shared" si="3"/>
        <v>1111</v>
      </c>
      <c r="I22" s="5">
        <f t="shared" si="2"/>
        <v>8.7260034904013961E-3</v>
      </c>
    </row>
    <row r="23" spans="1:9" x14ac:dyDescent="0.3">
      <c r="A23" s="2" t="str">
        <f>IF(ISBLANK(Sheet2!A23),"",(Sheet2!A23))</f>
        <v/>
      </c>
      <c r="B23">
        <f>Sheet2!B23</f>
        <v>2</v>
      </c>
      <c r="C23">
        <f>5*SUM(Sheet2!E23:I23)+3*SUM(Sheet2!J23:N23)+SUM(Sheet2!O23:AC23)+IF(Sheet2!A23="YES",10,0)</f>
        <v>10</v>
      </c>
      <c r="D23" t="str">
        <f>Sheet2!C23</f>
        <v>Austin Beckelman</v>
      </c>
      <c r="E23">
        <f t="shared" si="5"/>
        <v>1112</v>
      </c>
      <c r="F23">
        <f t="shared" si="3"/>
        <v>1121</v>
      </c>
      <c r="I23" s="5">
        <f t="shared" si="2"/>
        <v>8.7260034904013961E-3</v>
      </c>
    </row>
    <row r="24" spans="1:9" x14ac:dyDescent="0.3">
      <c r="A24" s="2" t="str">
        <f>IF(ISBLANK(Sheet2!A24),"",(Sheet2!A24))</f>
        <v>YES</v>
      </c>
      <c r="B24">
        <f>Sheet2!B24</f>
        <v>2</v>
      </c>
      <c r="C24">
        <f>5*SUM(Sheet2!E24:I24)+3*SUM(Sheet2!J24:N24)+SUM(Sheet2!O24:AC24)+IF(Sheet2!A24="YES",10,0)</f>
        <v>20</v>
      </c>
      <c r="D24" t="str">
        <f>Sheet2!C24</f>
        <v>Zack Mertz</v>
      </c>
      <c r="E24">
        <f t="shared" si="5"/>
        <v>1122</v>
      </c>
      <c r="F24">
        <f t="shared" si="3"/>
        <v>1141</v>
      </c>
      <c r="I24" s="5">
        <f t="shared" si="2"/>
        <v>1.7452006980802792E-2</v>
      </c>
    </row>
    <row r="25" spans="1:9" x14ac:dyDescent="0.3">
      <c r="A25" s="2" t="str">
        <f>IF(ISBLANK(Sheet2!A25),"",(Sheet2!A25))</f>
        <v/>
      </c>
      <c r="B25">
        <f>Sheet2!B25</f>
        <v>1</v>
      </c>
      <c r="C25">
        <f>5*SUM(Sheet2!E25:I25)+3*SUM(Sheet2!J25:N25)+SUM(Sheet2!O25:AC25)+IF(Sheet2!A25="YES",10,0)</f>
        <v>5</v>
      </c>
      <c r="D25" t="str">
        <f>Sheet2!C25</f>
        <v>Anthony Lee</v>
      </c>
      <c r="E25">
        <f t="shared" si="5"/>
        <v>1142</v>
      </c>
      <c r="F25">
        <f t="shared" si="3"/>
        <v>1146</v>
      </c>
      <c r="I25" s="5">
        <f t="shared" si="2"/>
        <v>4.3630017452006981E-3</v>
      </c>
    </row>
    <row r="26" spans="1:9" x14ac:dyDescent="0.3">
      <c r="I26" s="6"/>
    </row>
    <row r="31" spans="1:9" x14ac:dyDescent="0.3">
      <c r="F31" t="s">
        <v>33</v>
      </c>
    </row>
    <row r="32" spans="1:9" x14ac:dyDescent="0.3">
      <c r="D32" t="s">
        <v>4</v>
      </c>
      <c r="E32">
        <f ca="1">RANDBETWEEN(E2,F25)</f>
        <v>1021</v>
      </c>
      <c r="F32">
        <f>MAX(F2:F27)</f>
        <v>1146</v>
      </c>
    </row>
    <row r="33" spans="5:5" x14ac:dyDescent="0.3">
      <c r="E33">
        <v>1</v>
      </c>
    </row>
  </sheetData>
  <conditionalFormatting sqref="B9:F25">
    <cfRule type="expression" dxfId="5" priority="5" stopIfTrue="1">
      <formula>AND($E9&lt;=RNG,$F9&gt;=RNG,Done)</formula>
    </cfRule>
    <cfRule type="expression" dxfId="4" priority="6">
      <formula>AND($E9&lt;=RNG,$F9&gt;=RNG)</formula>
    </cfRule>
  </conditionalFormatting>
  <conditionalFormatting sqref="B2:F2">
    <cfRule type="expression" dxfId="3" priority="3" stopIfTrue="1">
      <formula>AND($E2&lt;=RNG,$F2&gt;=RNG,Done)</formula>
    </cfRule>
    <cfRule type="expression" dxfId="2" priority="4">
      <formula>AND($E2&lt;=RNG,$F2&gt;=RNG)</formula>
    </cfRule>
  </conditionalFormatting>
  <conditionalFormatting sqref="B3:F8">
    <cfRule type="expression" dxfId="1" priority="1" stopIfTrue="1">
      <formula>AND($E3&lt;=RNG,$F3&gt;=RNG,Done)</formula>
    </cfRule>
    <cfRule type="expression" dxfId="0" priority="2">
      <formula>AND($E3&lt;=RNG,$F3&gt;=RNG)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Simulation" altText="Spin">
                <anchor moveWithCells="1">
                  <from>
                    <xdr:col>7</xdr:col>
                    <xdr:colOff>60960</xdr:colOff>
                    <xdr:row>10</xdr:row>
                    <xdr:rowOff>106680</xdr:rowOff>
                  </from>
                  <to>
                    <xdr:col>7</xdr:col>
                    <xdr:colOff>601980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22C6F-3995-4980-887A-6C1B5369496E}">
  <dimension ref="A1:AC25"/>
  <sheetViews>
    <sheetView workbookViewId="0">
      <selection activeCell="C1" sqref="C1:C1048576"/>
    </sheetView>
  </sheetViews>
  <sheetFormatPr defaultRowHeight="14.4" x14ac:dyDescent="0.3"/>
  <cols>
    <col min="3" max="3" width="17.5546875" bestFit="1" customWidth="1"/>
    <col min="4" max="4" width="15.33203125" bestFit="1" customWidth="1"/>
  </cols>
  <sheetData>
    <row r="1" spans="1:29" x14ac:dyDescent="0.3">
      <c r="A1">
        <v>625</v>
      </c>
      <c r="B1" t="s">
        <v>1</v>
      </c>
      <c r="C1" t="s">
        <v>13</v>
      </c>
      <c r="D1" t="s">
        <v>14</v>
      </c>
      <c r="E1">
        <v>1</v>
      </c>
      <c r="F1">
        <v>2</v>
      </c>
      <c r="G1">
        <v>3</v>
      </c>
      <c r="H1">
        <v>4</v>
      </c>
      <c r="I1">
        <v>5</v>
      </c>
      <c r="J1">
        <v>6</v>
      </c>
      <c r="K1">
        <v>7</v>
      </c>
      <c r="L1">
        <v>8</v>
      </c>
      <c r="M1">
        <v>9</v>
      </c>
      <c r="N1">
        <v>10</v>
      </c>
      <c r="O1">
        <v>11</v>
      </c>
      <c r="P1">
        <v>12</v>
      </c>
      <c r="Q1">
        <v>13</v>
      </c>
      <c r="R1">
        <v>14</v>
      </c>
      <c r="S1">
        <v>15</v>
      </c>
      <c r="T1">
        <v>16</v>
      </c>
      <c r="U1">
        <v>17</v>
      </c>
      <c r="V1">
        <v>18</v>
      </c>
      <c r="W1">
        <v>19</v>
      </c>
      <c r="X1">
        <v>20</v>
      </c>
      <c r="Y1">
        <v>21</v>
      </c>
      <c r="Z1">
        <v>22</v>
      </c>
      <c r="AA1">
        <v>23</v>
      </c>
      <c r="AB1">
        <v>24</v>
      </c>
      <c r="AC1">
        <v>25</v>
      </c>
    </row>
    <row r="2" spans="1:29" x14ac:dyDescent="0.3">
      <c r="A2" t="s">
        <v>32</v>
      </c>
      <c r="B2">
        <v>50</v>
      </c>
      <c r="C2" t="s">
        <v>15</v>
      </c>
      <c r="D2" s="1">
        <v>45650.889305555553</v>
      </c>
      <c r="E2">
        <v>2</v>
      </c>
      <c r="F2">
        <v>2</v>
      </c>
      <c r="G2">
        <v>2</v>
      </c>
      <c r="H2">
        <v>2</v>
      </c>
      <c r="I2">
        <v>2</v>
      </c>
      <c r="J2">
        <v>2</v>
      </c>
      <c r="K2">
        <v>2</v>
      </c>
      <c r="L2">
        <v>2</v>
      </c>
      <c r="M2">
        <v>2</v>
      </c>
      <c r="N2">
        <v>2</v>
      </c>
      <c r="O2">
        <v>2</v>
      </c>
      <c r="P2">
        <v>2</v>
      </c>
      <c r="Q2">
        <v>2</v>
      </c>
      <c r="R2">
        <v>2</v>
      </c>
      <c r="S2">
        <v>2</v>
      </c>
      <c r="T2">
        <v>2</v>
      </c>
      <c r="U2">
        <v>2</v>
      </c>
      <c r="V2">
        <v>2</v>
      </c>
      <c r="W2">
        <v>2</v>
      </c>
      <c r="X2">
        <v>2</v>
      </c>
      <c r="Y2">
        <v>2</v>
      </c>
      <c r="Z2">
        <v>2</v>
      </c>
      <c r="AA2">
        <v>2</v>
      </c>
      <c r="AB2">
        <v>2</v>
      </c>
      <c r="AC2">
        <v>2</v>
      </c>
    </row>
    <row r="3" spans="1:29" x14ac:dyDescent="0.3">
      <c r="B3">
        <v>46</v>
      </c>
      <c r="C3" t="s">
        <v>16</v>
      </c>
      <c r="D3" s="1">
        <v>45659.80096064815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K3">
        <v>2</v>
      </c>
      <c r="L3">
        <v>2</v>
      </c>
      <c r="M3">
        <v>2</v>
      </c>
      <c r="N3">
        <v>2</v>
      </c>
      <c r="O3">
        <v>2</v>
      </c>
      <c r="P3">
        <v>1</v>
      </c>
      <c r="Q3">
        <v>2</v>
      </c>
      <c r="R3">
        <v>2</v>
      </c>
      <c r="S3">
        <v>1</v>
      </c>
      <c r="T3">
        <v>2</v>
      </c>
      <c r="U3">
        <v>2</v>
      </c>
      <c r="V3">
        <v>2</v>
      </c>
      <c r="W3">
        <v>2</v>
      </c>
      <c r="X3">
        <v>1</v>
      </c>
      <c r="Y3">
        <v>2</v>
      </c>
      <c r="Z3">
        <v>2</v>
      </c>
      <c r="AA3">
        <v>2</v>
      </c>
      <c r="AB3">
        <v>2</v>
      </c>
      <c r="AC3">
        <v>1</v>
      </c>
    </row>
    <row r="4" spans="1:29" x14ac:dyDescent="0.3">
      <c r="A4" t="s">
        <v>32</v>
      </c>
      <c r="B4">
        <v>43</v>
      </c>
      <c r="C4" t="s">
        <v>5</v>
      </c>
      <c r="D4" s="1">
        <v>45657.444097222222</v>
      </c>
      <c r="E4">
        <v>2</v>
      </c>
      <c r="F4">
        <v>2</v>
      </c>
      <c r="G4">
        <v>2</v>
      </c>
      <c r="H4">
        <v>2</v>
      </c>
      <c r="I4">
        <v>2</v>
      </c>
      <c r="J4">
        <v>2</v>
      </c>
      <c r="K4">
        <v>2</v>
      </c>
      <c r="L4">
        <v>2</v>
      </c>
      <c r="M4">
        <v>2</v>
      </c>
      <c r="N4">
        <v>2</v>
      </c>
      <c r="O4">
        <v>2</v>
      </c>
      <c r="P4">
        <v>1</v>
      </c>
      <c r="Q4">
        <v>2</v>
      </c>
      <c r="R4">
        <v>2</v>
      </c>
      <c r="S4">
        <v>2</v>
      </c>
      <c r="T4">
        <v>2</v>
      </c>
      <c r="U4">
        <v>1</v>
      </c>
      <c r="V4">
        <v>2</v>
      </c>
      <c r="W4">
        <v>2</v>
      </c>
      <c r="X4">
        <v>1</v>
      </c>
      <c r="Y4">
        <v>0</v>
      </c>
      <c r="Z4">
        <v>2</v>
      </c>
      <c r="AA4">
        <v>2</v>
      </c>
      <c r="AB4">
        <v>1</v>
      </c>
      <c r="AC4">
        <v>1</v>
      </c>
    </row>
    <row r="5" spans="1:29" x14ac:dyDescent="0.3">
      <c r="B5">
        <v>37</v>
      </c>
      <c r="C5" t="s">
        <v>17</v>
      </c>
      <c r="D5" s="1">
        <v>45655.970104166663</v>
      </c>
      <c r="E5">
        <v>2</v>
      </c>
      <c r="F5">
        <v>2</v>
      </c>
      <c r="G5">
        <v>2</v>
      </c>
      <c r="H5">
        <v>2</v>
      </c>
      <c r="I5">
        <v>2</v>
      </c>
      <c r="J5">
        <v>2</v>
      </c>
      <c r="K5">
        <v>2</v>
      </c>
      <c r="L5">
        <v>2</v>
      </c>
      <c r="M5">
        <v>2</v>
      </c>
      <c r="N5">
        <v>2</v>
      </c>
      <c r="O5">
        <v>1</v>
      </c>
      <c r="P5">
        <v>2</v>
      </c>
      <c r="Q5">
        <v>2</v>
      </c>
      <c r="R5">
        <v>2</v>
      </c>
      <c r="S5">
        <v>1</v>
      </c>
      <c r="T5">
        <v>2</v>
      </c>
      <c r="U5">
        <v>1</v>
      </c>
      <c r="V5">
        <v>2</v>
      </c>
      <c r="W5">
        <v>1</v>
      </c>
      <c r="X5">
        <v>1</v>
      </c>
      <c r="Y5">
        <v>0</v>
      </c>
      <c r="Z5">
        <v>1</v>
      </c>
      <c r="AA5">
        <v>0</v>
      </c>
      <c r="AB5">
        <v>0</v>
      </c>
      <c r="AC5">
        <v>1</v>
      </c>
    </row>
    <row r="6" spans="1:29" x14ac:dyDescent="0.3">
      <c r="B6">
        <v>25</v>
      </c>
      <c r="C6" t="s">
        <v>18</v>
      </c>
      <c r="D6" s="1">
        <v>45639.047349537039</v>
      </c>
      <c r="E6">
        <v>2</v>
      </c>
      <c r="F6">
        <v>2</v>
      </c>
      <c r="G6">
        <v>2</v>
      </c>
      <c r="H6">
        <v>2</v>
      </c>
      <c r="I6">
        <v>2</v>
      </c>
      <c r="J6">
        <v>2</v>
      </c>
      <c r="K6">
        <v>2</v>
      </c>
      <c r="L6">
        <v>2</v>
      </c>
      <c r="M6">
        <v>2</v>
      </c>
      <c r="N6">
        <v>2</v>
      </c>
      <c r="O6">
        <v>1</v>
      </c>
      <c r="P6">
        <v>2</v>
      </c>
      <c r="Q6">
        <v>2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</row>
    <row r="7" spans="1:29" x14ac:dyDescent="0.3">
      <c r="B7">
        <v>23</v>
      </c>
      <c r="C7" t="s">
        <v>19</v>
      </c>
      <c r="D7" s="1">
        <v>45644.878449074073</v>
      </c>
      <c r="E7">
        <v>2</v>
      </c>
      <c r="F7">
        <v>2</v>
      </c>
      <c r="G7">
        <v>2</v>
      </c>
      <c r="H7">
        <v>2</v>
      </c>
      <c r="I7">
        <v>2</v>
      </c>
      <c r="J7">
        <v>2</v>
      </c>
      <c r="K7">
        <v>2</v>
      </c>
      <c r="L7">
        <v>2</v>
      </c>
      <c r="M7">
        <v>2</v>
      </c>
      <c r="N7">
        <v>2</v>
      </c>
      <c r="O7">
        <v>2</v>
      </c>
      <c r="P7">
        <v>1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</row>
    <row r="8" spans="1:29" x14ac:dyDescent="0.3">
      <c r="A8" t="s">
        <v>32</v>
      </c>
      <c r="B8">
        <v>23</v>
      </c>
      <c r="C8" t="s">
        <v>20</v>
      </c>
      <c r="D8" s="1">
        <v>45655.75545138889</v>
      </c>
      <c r="E8">
        <v>2</v>
      </c>
      <c r="F8">
        <v>2</v>
      </c>
      <c r="G8">
        <v>2</v>
      </c>
      <c r="H8">
        <v>2</v>
      </c>
      <c r="I8">
        <v>2</v>
      </c>
      <c r="J8">
        <v>2</v>
      </c>
      <c r="K8">
        <v>2</v>
      </c>
      <c r="L8">
        <v>2</v>
      </c>
      <c r="M8">
        <v>1</v>
      </c>
      <c r="N8">
        <v>2</v>
      </c>
      <c r="O8">
        <v>1</v>
      </c>
      <c r="P8">
        <v>0</v>
      </c>
      <c r="Q8">
        <v>1</v>
      </c>
      <c r="R8">
        <v>2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</row>
    <row r="9" spans="1:29" x14ac:dyDescent="0.3">
      <c r="B9">
        <v>21</v>
      </c>
      <c r="C9" t="s">
        <v>21</v>
      </c>
      <c r="D9" s="1">
        <v>45659.023009259261</v>
      </c>
      <c r="E9">
        <v>2</v>
      </c>
      <c r="F9">
        <v>2</v>
      </c>
      <c r="G9">
        <v>2</v>
      </c>
      <c r="H9">
        <v>2</v>
      </c>
      <c r="I9">
        <v>2</v>
      </c>
      <c r="J9">
        <v>2</v>
      </c>
      <c r="K9">
        <v>2</v>
      </c>
      <c r="L9">
        <v>2</v>
      </c>
      <c r="M9">
        <v>2</v>
      </c>
      <c r="N9">
        <v>2</v>
      </c>
      <c r="O9">
        <v>1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</row>
    <row r="10" spans="1:29" x14ac:dyDescent="0.3">
      <c r="B10">
        <v>18</v>
      </c>
      <c r="C10" t="s">
        <v>22</v>
      </c>
      <c r="D10" s="1">
        <v>45651.628148148149</v>
      </c>
      <c r="E10">
        <v>2</v>
      </c>
      <c r="F10">
        <v>2</v>
      </c>
      <c r="G10">
        <v>2</v>
      </c>
      <c r="H10">
        <v>2</v>
      </c>
      <c r="I10">
        <v>1</v>
      </c>
      <c r="J10">
        <v>1</v>
      </c>
      <c r="K10">
        <v>1</v>
      </c>
      <c r="L10">
        <v>0</v>
      </c>
      <c r="M10">
        <v>1</v>
      </c>
      <c r="N10">
        <v>0</v>
      </c>
      <c r="O10">
        <v>0</v>
      </c>
      <c r="P10">
        <v>0</v>
      </c>
      <c r="Q10">
        <v>2</v>
      </c>
      <c r="R10">
        <v>2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1</v>
      </c>
      <c r="AA10">
        <v>0</v>
      </c>
      <c r="AB10">
        <v>0</v>
      </c>
      <c r="AC10">
        <v>1</v>
      </c>
    </row>
    <row r="11" spans="1:29" x14ac:dyDescent="0.3">
      <c r="B11">
        <v>13</v>
      </c>
      <c r="C11" t="s">
        <v>9</v>
      </c>
      <c r="D11" s="1">
        <v>45651.957604166666</v>
      </c>
      <c r="E11">
        <v>2</v>
      </c>
      <c r="F11">
        <v>2</v>
      </c>
      <c r="G11">
        <v>2</v>
      </c>
      <c r="H11">
        <v>2</v>
      </c>
      <c r="I11">
        <v>2</v>
      </c>
      <c r="J11">
        <v>1</v>
      </c>
      <c r="K11">
        <v>2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3">
      <c r="B12">
        <v>12</v>
      </c>
      <c r="C12" t="s">
        <v>7</v>
      </c>
      <c r="D12" s="1">
        <v>45656.712916666664</v>
      </c>
      <c r="E12">
        <v>2</v>
      </c>
      <c r="F12">
        <v>2</v>
      </c>
      <c r="G12">
        <v>2</v>
      </c>
      <c r="H12">
        <v>2</v>
      </c>
      <c r="I12">
        <v>2</v>
      </c>
      <c r="J12">
        <v>2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3">
      <c r="B13">
        <v>10</v>
      </c>
      <c r="C13" t="s">
        <v>23</v>
      </c>
      <c r="D13" s="1">
        <v>45636.744131944448</v>
      </c>
      <c r="E13">
        <v>2</v>
      </c>
      <c r="F13">
        <v>2</v>
      </c>
      <c r="G13">
        <v>2</v>
      </c>
      <c r="H13">
        <v>2</v>
      </c>
      <c r="I13">
        <v>0</v>
      </c>
      <c r="J13">
        <v>0</v>
      </c>
      <c r="K13">
        <v>0</v>
      </c>
      <c r="L13">
        <v>0</v>
      </c>
      <c r="M13">
        <v>0</v>
      </c>
      <c r="N13">
        <v>2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</row>
    <row r="14" spans="1:29" x14ac:dyDescent="0.3">
      <c r="B14">
        <v>10</v>
      </c>
      <c r="C14" t="s">
        <v>24</v>
      </c>
      <c r="D14" s="1">
        <v>45637.724618055552</v>
      </c>
      <c r="E14">
        <v>2</v>
      </c>
      <c r="F14">
        <v>2</v>
      </c>
      <c r="G14">
        <v>2</v>
      </c>
      <c r="H14">
        <v>2</v>
      </c>
      <c r="I14">
        <v>2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</row>
    <row r="15" spans="1:29" x14ac:dyDescent="0.3">
      <c r="B15">
        <v>8</v>
      </c>
      <c r="C15" t="s">
        <v>8</v>
      </c>
      <c r="D15" s="1">
        <v>45636.047511574077</v>
      </c>
      <c r="E15">
        <v>2</v>
      </c>
      <c r="F15">
        <v>2</v>
      </c>
      <c r="G15">
        <v>2</v>
      </c>
      <c r="H15">
        <v>2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</row>
    <row r="16" spans="1:29" x14ac:dyDescent="0.3">
      <c r="B16">
        <v>6</v>
      </c>
      <c r="C16" t="s">
        <v>25</v>
      </c>
      <c r="D16" s="1">
        <v>45630.708101851851</v>
      </c>
      <c r="E16">
        <v>2</v>
      </c>
      <c r="F16">
        <v>2</v>
      </c>
      <c r="G16">
        <v>2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</row>
    <row r="17" spans="1:29" x14ac:dyDescent="0.3">
      <c r="B17">
        <v>6</v>
      </c>
      <c r="C17" t="s">
        <v>6</v>
      </c>
      <c r="D17" s="1">
        <v>45635.740057870367</v>
      </c>
      <c r="E17">
        <v>2</v>
      </c>
      <c r="F17">
        <v>2</v>
      </c>
      <c r="G17">
        <v>2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</row>
    <row r="18" spans="1:29" x14ac:dyDescent="0.3">
      <c r="A18" t="s">
        <v>32</v>
      </c>
      <c r="B18">
        <v>3</v>
      </c>
      <c r="C18" t="s">
        <v>26</v>
      </c>
      <c r="D18" s="1">
        <v>45629.8280787037</v>
      </c>
      <c r="E18">
        <v>2</v>
      </c>
      <c r="F18">
        <v>1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3">
      <c r="B19">
        <v>3</v>
      </c>
      <c r="C19" t="s">
        <v>27</v>
      </c>
      <c r="D19" s="1">
        <v>45631.819988425923</v>
      </c>
      <c r="E19">
        <v>2</v>
      </c>
      <c r="F19">
        <v>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3">
      <c r="B20">
        <v>2</v>
      </c>
      <c r="C20" t="s">
        <v>28</v>
      </c>
      <c r="D20" s="1">
        <v>45628.80505787037</v>
      </c>
      <c r="E20">
        <v>2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</row>
    <row r="21" spans="1:29" x14ac:dyDescent="0.3">
      <c r="B21">
        <v>2</v>
      </c>
      <c r="C21" t="s">
        <v>29</v>
      </c>
      <c r="D21" s="1">
        <v>45630.744050925925</v>
      </c>
      <c r="E21">
        <v>2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</row>
    <row r="22" spans="1:29" x14ac:dyDescent="0.3">
      <c r="B22">
        <v>2</v>
      </c>
      <c r="C22" t="s">
        <v>10</v>
      </c>
      <c r="D22" s="1">
        <v>45633.75675925926</v>
      </c>
      <c r="E22">
        <v>2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</row>
    <row r="23" spans="1:29" x14ac:dyDescent="0.3">
      <c r="B23">
        <v>2</v>
      </c>
      <c r="C23" t="s">
        <v>30</v>
      </c>
      <c r="D23" s="1">
        <v>45634.762511574074</v>
      </c>
      <c r="E23">
        <v>2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</row>
    <row r="24" spans="1:29" x14ac:dyDescent="0.3">
      <c r="A24" t="s">
        <v>32</v>
      </c>
      <c r="B24">
        <v>2</v>
      </c>
      <c r="C24" t="s">
        <v>31</v>
      </c>
      <c r="D24" s="1">
        <v>45650.98028935185</v>
      </c>
      <c r="E24">
        <v>2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</row>
    <row r="25" spans="1:29" x14ac:dyDescent="0.3">
      <c r="B25">
        <v>1</v>
      </c>
      <c r="C25" t="s">
        <v>11</v>
      </c>
      <c r="D25" s="1">
        <v>45659.89775462963</v>
      </c>
      <c r="E25">
        <v>1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Done</vt:lpstr>
      <vt:lpstr>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Buscaglia</dc:creator>
  <cp:lastModifiedBy>David Buscaglia</cp:lastModifiedBy>
  <dcterms:created xsi:type="dcterms:W3CDTF">2023-01-04T16:53:56Z</dcterms:created>
  <dcterms:modified xsi:type="dcterms:W3CDTF">2025-01-03T22:56:42Z</dcterms:modified>
</cp:coreProperties>
</file>